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usiness intelligence dashboard\Sample data sets\"/>
    </mc:Choice>
  </mc:AlternateContent>
  <xr:revisionPtr revIDLastSave="0" documentId="13_ncr:1_{193F6CCD-01DF-4BDF-826A-8CD90FD7CA34}" xr6:coauthVersionLast="36" xr6:coauthVersionMax="36" xr10:uidLastSave="{00000000-0000-0000-0000-000000000000}"/>
  <bookViews>
    <workbookView xWindow="0" yWindow="0" windowWidth="28800" windowHeight="14445" xr2:uid="{A9FA156F-35E8-4E89-BB0E-972E34B84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" i="1"/>
</calcChain>
</file>

<file path=xl/sharedStrings.xml><?xml version="1.0" encoding="utf-8"?>
<sst xmlns="http://schemas.openxmlformats.org/spreadsheetml/2006/main" count="147" uniqueCount="86">
  <si>
    <t>All Items</t>
  </si>
  <si>
    <t>From 01-12-2025 to 31-12-2025</t>
  </si>
  <si>
    <t>Item Details</t>
  </si>
  <si>
    <t>Unit</t>
  </si>
  <si>
    <t>Nett Sale Qty.</t>
  </si>
  <si>
    <t>Nett Sale Amt.</t>
  </si>
  <si>
    <t>Avg. Price</t>
  </si>
  <si>
    <t>GST Amt.</t>
  </si>
  <si>
    <t>No. of Vch.(Sale)</t>
  </si>
  <si>
    <t>1 1/2 -SP-CLAMPS HEAVY</t>
  </si>
  <si>
    <t>Dozen</t>
  </si>
  <si>
    <t>1 1/2 U CLAMPS H</t>
  </si>
  <si>
    <t>1 1/2 UPVC SS CLAMPS</t>
  </si>
  <si>
    <t>Pcs.</t>
  </si>
  <si>
    <t>1 1/4 U CLAMPS H</t>
  </si>
  <si>
    <t>1 1/4-SP-CLAMPS HEAVY</t>
  </si>
  <si>
    <t>1 BORE CLAMP H</t>
  </si>
  <si>
    <t>PCS</t>
  </si>
  <si>
    <t>1 SP CLAMPS</t>
  </si>
  <si>
    <t>1 SP CLAMPS 3MM</t>
  </si>
  <si>
    <t>1 U CLAMPS H</t>
  </si>
  <si>
    <t>1 UPVC SS CLMAPS</t>
  </si>
  <si>
    <t>10 U CLAMPS H</t>
  </si>
  <si>
    <t>11/2 SP CLAMPS</t>
  </si>
  <si>
    <t>11/2-GI U CLAMP</t>
  </si>
  <si>
    <t>Kgs.</t>
  </si>
  <si>
    <t>11/4 SP CLAMPS</t>
  </si>
  <si>
    <t>12"L" STAND</t>
  </si>
  <si>
    <t>SET</t>
  </si>
  <si>
    <t>12X3 BRACKET CLAMPS (LG)</t>
  </si>
  <si>
    <t>15X3 BRACKET CLAMPS (LG)</t>
  </si>
  <si>
    <t>16 GI U CLAMP 25X2MM</t>
  </si>
  <si>
    <t>18X3 BRACKET CLAMPS (LG)</t>
  </si>
  <si>
    <t>1-GI U CLAMPS</t>
  </si>
  <si>
    <t>1-SP-CLAMPS-HEAVY</t>
  </si>
  <si>
    <t>2 1/2   SP CLAMPS</t>
  </si>
  <si>
    <t>2 1/2 U CLAMPS H</t>
  </si>
  <si>
    <t>2 1/2-SP-CLAMPS HEAVY</t>
  </si>
  <si>
    <t>2 SP CLAMPS</t>
  </si>
  <si>
    <t>2 U CLAMPS H</t>
  </si>
  <si>
    <t>21/2-GI U CLAMPS</t>
  </si>
  <si>
    <t>24X3 BRACKET CLAMPS (LG)</t>
  </si>
  <si>
    <t>2-GI U CLAMPS</t>
  </si>
  <si>
    <t>2-SP -CLAMPS HEAVY</t>
  </si>
  <si>
    <t>3 SP CLAMPS</t>
  </si>
  <si>
    <t>3 SS PATTA CLAMPS</t>
  </si>
  <si>
    <t>3 U CLAMPS H</t>
  </si>
  <si>
    <t>3/4 SP CLAMPS</t>
  </si>
  <si>
    <t>3/4 U CLAMPS H</t>
  </si>
  <si>
    <t>3/4 UPVC SS CLAMPS</t>
  </si>
  <si>
    <t>3/4-GI U CLAMPS</t>
  </si>
  <si>
    <t>30*3 BRACKET CLAMPS</t>
  </si>
  <si>
    <t>3-GI U CLAMPS</t>
  </si>
  <si>
    <t>4 SP CLAMPS</t>
  </si>
  <si>
    <t>4 U CLAMPS H</t>
  </si>
  <si>
    <t>4-GI U CLAMPS</t>
  </si>
  <si>
    <t>4-SP-CLAMPS HEAVY</t>
  </si>
  <si>
    <t>4-SP-CLAMPS-HEAVY</t>
  </si>
  <si>
    <t>4X3 BRACKET CLAMPS(LG)</t>
  </si>
  <si>
    <t>5-SP-CLAMPS-HEAVY</t>
  </si>
  <si>
    <t>6 U CLAMPS H</t>
  </si>
  <si>
    <t>6X3 BRACKET CLAMPS (LG)</t>
  </si>
  <si>
    <t>9X3 BRACKET CLAMPS (LG)</t>
  </si>
  <si>
    <t>ALUMINIUM BRACKET 12X2 1/2</t>
  </si>
  <si>
    <t>Nos</t>
  </si>
  <si>
    <t>ALUMINIUM BRACKET 15X2 1/2</t>
  </si>
  <si>
    <t>ALUMINIUM BRACKET 18X2 1/2</t>
  </si>
  <si>
    <t>ALUMINIUM BRACKET 4X2 1/2</t>
  </si>
  <si>
    <t>ALUMINIUM BRACKET 6X2 1/2</t>
  </si>
  <si>
    <t>ALUMINIUM BRACKET 9X2 1/2</t>
  </si>
  <si>
    <t>BORE CLAMP HEAVY 11/4</t>
  </si>
  <si>
    <t>C V  WIGHTS-4''</t>
  </si>
  <si>
    <t>C V WIGHTS -3''</t>
  </si>
  <si>
    <t>GI BRACKET 24X5</t>
  </si>
  <si>
    <t>GI WALL BRACKETS 12X5</t>
  </si>
  <si>
    <t>GI WALL BRACKETS 9X4</t>
  </si>
  <si>
    <t>Jet Clamps 11/4.1</t>
  </si>
  <si>
    <t>Moter Clamp 1/2 Hp</t>
  </si>
  <si>
    <t>Moter Clamps 1hp</t>
  </si>
  <si>
    <t>U BOLT NET WASHER 1</t>
  </si>
  <si>
    <t>U BOLT NET WASHER 21/2</t>
  </si>
  <si>
    <t>U BOLT NET WASHER 3/4</t>
  </si>
  <si>
    <t>Total</t>
  </si>
  <si>
    <t>Total Avg. Price : 84.84</t>
  </si>
  <si>
    <t>Total Value</t>
  </si>
  <si>
    <t>sales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</si>
</sst>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/>
    <xf numFmtId="0" fontId="6" fillId="0" borderId="0" xfId="0" applyFont="1"/>
    <xf numFmtId="0" fontId="6" fillId="0" borderId="0" xfId="0" applyFont="1" applyAlignment="1"/>
    <xf numFmtId="2" fontId="0" fillId="0" borderId="0" xfId="0" applyNumberFormat="1" applyAlignme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6799-EFFC-4018-AA7F-3BB0C6E42ADA}">
  <dimension ref="A1:H79"/>
  <sheetViews>
    <sheetView tabSelected="1" workbookViewId="0">
      <selection activeCell="H6" sqref="H6"/>
    </sheetView>
  </sheetViews>
  <sheetFormatPr defaultRowHeight="15" x14ac:dyDescent="0.25"/>
  <cols>
    <col min="1" max="1" width="54.7109375" customWidth="1"/>
    <col min="2" max="2" width="13.7109375" customWidth="1"/>
    <col min="3" max="6" width="22.7109375" customWidth="1"/>
    <col min="7" max="7" width="18.7109375" customWidth="1"/>
  </cols>
  <sheetData>
    <row r="1" spans="1:8" ht="22.5" x14ac:dyDescent="0.3">
      <c r="A1" s="21"/>
      <c r="B1" s="22"/>
      <c r="C1" s="22"/>
      <c r="D1" s="22"/>
      <c r="E1" s="22"/>
      <c r="F1" s="22"/>
      <c r="G1" s="22"/>
    </row>
    <row r="2" spans="1:8" ht="15.75" x14ac:dyDescent="0.25">
      <c r="A2" s="23"/>
      <c r="B2" s="22"/>
      <c r="C2" s="22"/>
      <c r="D2" s="22"/>
      <c r="E2" s="22"/>
      <c r="F2" s="22"/>
      <c r="G2" s="22"/>
    </row>
    <row r="3" spans="1:8" ht="15.75" x14ac:dyDescent="0.25">
      <c r="A3" s="23"/>
      <c r="B3" s="22"/>
      <c r="C3" s="22"/>
      <c r="D3" s="22"/>
      <c r="E3" s="22"/>
      <c r="F3" s="22"/>
      <c r="G3" s="22"/>
    </row>
    <row r="4" spans="1:8" ht="18.75" x14ac:dyDescent="0.3">
      <c r="A4" s="24"/>
      <c r="B4" s="22"/>
      <c r="C4" s="22"/>
      <c r="D4" s="22"/>
      <c r="E4" s="22"/>
      <c r="F4" s="22"/>
      <c r="G4" s="22"/>
    </row>
    <row r="5" spans="1:8" ht="15.75" x14ac:dyDescent="0.25">
      <c r="A5" s="25" t="s">
        <v>0</v>
      </c>
      <c r="B5" s="26"/>
      <c r="C5" s="26"/>
      <c r="D5" s="26"/>
      <c r="E5" s="19" t="s">
        <v>1</v>
      </c>
      <c r="F5" s="20"/>
      <c r="G5" s="20"/>
    </row>
    <row r="6" spans="1:8" x14ac:dyDescent="0.25">
      <c r="A6" s="1" t="s">
        <v>2</v>
      </c>
      <c r="B6" s="1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11" t="s">
        <v>8</v>
      </c>
      <c r="H6" s="16" t="s">
        <v>85</v>
      </c>
    </row>
    <row r="7" spans="1:8" x14ac:dyDescent="0.25">
      <c r="A7" s="2" t="s">
        <v>9</v>
      </c>
      <c r="B7" s="2" t="s">
        <v>10</v>
      </c>
      <c r="C7" s="7">
        <v>62</v>
      </c>
      <c r="D7" s="7">
        <v>10582</v>
      </c>
      <c r="E7" s="7">
        <v>170.68</v>
      </c>
      <c r="F7" s="7">
        <v>1904.78</v>
      </c>
      <c r="G7" s="12">
        <v>3</v>
      </c>
      <c r="H7" s="15">
        <f>SUM(D7,F7)</f>
        <v>12486.78</v>
      </c>
    </row>
    <row r="8" spans="1:8" x14ac:dyDescent="0.25">
      <c r="A8" s="2" t="s">
        <v>11</v>
      </c>
      <c r="B8" s="2" t="s">
        <v>10</v>
      </c>
      <c r="C8" s="7">
        <v>6</v>
      </c>
      <c r="D8" s="7">
        <v>360</v>
      </c>
      <c r="E8" s="7">
        <v>60</v>
      </c>
      <c r="F8" s="7">
        <v>64.8</v>
      </c>
      <c r="G8" s="12">
        <v>2</v>
      </c>
      <c r="H8" s="15">
        <f t="shared" ref="H8:H71" si="0">SUM(D8,F8)</f>
        <v>424.8</v>
      </c>
    </row>
    <row r="9" spans="1:8" x14ac:dyDescent="0.25">
      <c r="A9" s="2" t="s">
        <v>12</v>
      </c>
      <c r="B9" s="2" t="s">
        <v>13</v>
      </c>
      <c r="C9" s="7">
        <v>500</v>
      </c>
      <c r="D9" s="7">
        <v>2650</v>
      </c>
      <c r="E9" s="7">
        <v>5.3</v>
      </c>
      <c r="F9" s="7">
        <v>477</v>
      </c>
      <c r="G9" s="12">
        <v>1</v>
      </c>
      <c r="H9" s="15">
        <f t="shared" si="0"/>
        <v>3127</v>
      </c>
    </row>
    <row r="10" spans="1:8" x14ac:dyDescent="0.25">
      <c r="A10" s="2" t="s">
        <v>14</v>
      </c>
      <c r="B10" s="2" t="s">
        <v>10</v>
      </c>
      <c r="C10" s="7">
        <v>16</v>
      </c>
      <c r="D10" s="7">
        <v>880</v>
      </c>
      <c r="E10" s="7">
        <v>55</v>
      </c>
      <c r="F10" s="7">
        <v>158.4</v>
      </c>
      <c r="G10" s="12">
        <v>3</v>
      </c>
      <c r="H10" s="15">
        <f t="shared" si="0"/>
        <v>1038.4000000000001</v>
      </c>
    </row>
    <row r="11" spans="1:8" x14ac:dyDescent="0.25">
      <c r="A11" s="2" t="s">
        <v>15</v>
      </c>
      <c r="B11" s="2" t="s">
        <v>10</v>
      </c>
      <c r="C11" s="7">
        <v>15</v>
      </c>
      <c r="D11" s="7">
        <v>2187</v>
      </c>
      <c r="E11" s="7">
        <v>145.80000000000001</v>
      </c>
      <c r="F11" s="7">
        <v>393.66</v>
      </c>
      <c r="G11" s="12">
        <v>1</v>
      </c>
      <c r="H11" s="15">
        <f t="shared" si="0"/>
        <v>2580.66</v>
      </c>
    </row>
    <row r="12" spans="1:8" x14ac:dyDescent="0.25">
      <c r="A12" s="2" t="s">
        <v>16</v>
      </c>
      <c r="B12" s="2" t="s">
        <v>17</v>
      </c>
      <c r="C12" s="7">
        <v>10</v>
      </c>
      <c r="D12" s="7">
        <v>1800</v>
      </c>
      <c r="E12" s="7">
        <v>180</v>
      </c>
      <c r="F12" s="7">
        <v>324</v>
      </c>
      <c r="G12" s="12">
        <v>1</v>
      </c>
      <c r="H12" s="15">
        <f t="shared" si="0"/>
        <v>2124</v>
      </c>
    </row>
    <row r="13" spans="1:8" x14ac:dyDescent="0.25">
      <c r="A13" s="2" t="s">
        <v>18</v>
      </c>
      <c r="B13" s="2" t="s">
        <v>10</v>
      </c>
      <c r="C13" s="7">
        <v>288</v>
      </c>
      <c r="D13" s="7">
        <v>24222.45</v>
      </c>
      <c r="E13" s="7">
        <v>84.11</v>
      </c>
      <c r="F13" s="7">
        <v>4360.04</v>
      </c>
      <c r="G13" s="12">
        <v>7</v>
      </c>
      <c r="H13" s="15">
        <f t="shared" si="0"/>
        <v>28582.49</v>
      </c>
    </row>
    <row r="14" spans="1:8" x14ac:dyDescent="0.25">
      <c r="A14" s="2" t="s">
        <v>19</v>
      </c>
      <c r="B14" s="2" t="s">
        <v>10</v>
      </c>
      <c r="C14" s="7">
        <v>50</v>
      </c>
      <c r="D14" s="7">
        <v>4752</v>
      </c>
      <c r="E14" s="7">
        <v>95.04</v>
      </c>
      <c r="F14" s="7">
        <v>855.36</v>
      </c>
      <c r="G14" s="12">
        <v>1</v>
      </c>
      <c r="H14" s="15">
        <f t="shared" si="0"/>
        <v>5607.36</v>
      </c>
    </row>
    <row r="15" spans="1:8" x14ac:dyDescent="0.25">
      <c r="A15" s="2" t="s">
        <v>20</v>
      </c>
      <c r="B15" s="2" t="s">
        <v>10</v>
      </c>
      <c r="C15" s="7">
        <v>511</v>
      </c>
      <c r="D15" s="7">
        <v>22050</v>
      </c>
      <c r="E15" s="7">
        <v>43.15</v>
      </c>
      <c r="F15" s="7">
        <v>3969</v>
      </c>
      <c r="G15" s="12">
        <v>4</v>
      </c>
      <c r="H15" s="15">
        <f t="shared" si="0"/>
        <v>26019</v>
      </c>
    </row>
    <row r="16" spans="1:8" x14ac:dyDescent="0.25">
      <c r="A16" s="2" t="s">
        <v>21</v>
      </c>
      <c r="B16" s="2" t="s">
        <v>13</v>
      </c>
      <c r="C16" s="7">
        <v>750</v>
      </c>
      <c r="D16" s="7">
        <v>3512</v>
      </c>
      <c r="E16" s="7">
        <v>4.68</v>
      </c>
      <c r="F16" s="7">
        <v>632.16</v>
      </c>
      <c r="G16" s="12">
        <v>4</v>
      </c>
      <c r="H16" s="15">
        <f t="shared" si="0"/>
        <v>4144.16</v>
      </c>
    </row>
    <row r="17" spans="1:8" x14ac:dyDescent="0.25">
      <c r="A17" s="2" t="s">
        <v>22</v>
      </c>
      <c r="B17" s="2" t="s">
        <v>17</v>
      </c>
      <c r="C17" s="7">
        <v>50</v>
      </c>
      <c r="D17" s="7">
        <v>3400</v>
      </c>
      <c r="E17" s="7">
        <v>68</v>
      </c>
      <c r="F17" s="7">
        <v>612</v>
      </c>
      <c r="G17" s="12">
        <v>1</v>
      </c>
      <c r="H17" s="15">
        <f t="shared" si="0"/>
        <v>4012</v>
      </c>
    </row>
    <row r="18" spans="1:8" x14ac:dyDescent="0.25">
      <c r="A18" s="2" t="s">
        <v>23</v>
      </c>
      <c r="B18" s="2" t="s">
        <v>10</v>
      </c>
      <c r="C18" s="7">
        <v>107</v>
      </c>
      <c r="D18" s="7">
        <v>12046.25</v>
      </c>
      <c r="E18" s="7">
        <v>112.58</v>
      </c>
      <c r="F18" s="7">
        <v>2168.34</v>
      </c>
      <c r="G18" s="12">
        <v>6</v>
      </c>
      <c r="H18" s="15">
        <f t="shared" si="0"/>
        <v>14214.59</v>
      </c>
    </row>
    <row r="19" spans="1:8" x14ac:dyDescent="0.25">
      <c r="A19" s="2" t="s">
        <v>24</v>
      </c>
      <c r="B19" s="2" t="s">
        <v>25</v>
      </c>
      <c r="C19" s="7">
        <v>33</v>
      </c>
      <c r="D19" s="7">
        <v>3478.6</v>
      </c>
      <c r="E19" s="7">
        <v>105.41</v>
      </c>
      <c r="F19" s="7">
        <v>626.14</v>
      </c>
      <c r="G19" s="12">
        <v>2</v>
      </c>
      <c r="H19" s="15">
        <f t="shared" si="0"/>
        <v>4104.74</v>
      </c>
    </row>
    <row r="20" spans="1:8" x14ac:dyDescent="0.25">
      <c r="A20" s="2" t="s">
        <v>26</v>
      </c>
      <c r="B20" s="2" t="s">
        <v>10</v>
      </c>
      <c r="C20" s="7">
        <v>52</v>
      </c>
      <c r="D20" s="7">
        <v>5304.25</v>
      </c>
      <c r="E20" s="7">
        <v>102</v>
      </c>
      <c r="F20" s="7">
        <v>954.76</v>
      </c>
      <c r="G20" s="12">
        <v>3</v>
      </c>
      <c r="H20" s="15">
        <f t="shared" si="0"/>
        <v>6259.01</v>
      </c>
    </row>
    <row r="21" spans="1:8" x14ac:dyDescent="0.25">
      <c r="A21" s="2" t="s">
        <v>27</v>
      </c>
      <c r="B21" s="2" t="s">
        <v>28</v>
      </c>
      <c r="C21" s="7">
        <v>50</v>
      </c>
      <c r="D21" s="7">
        <v>3250</v>
      </c>
      <c r="E21" s="7">
        <v>65</v>
      </c>
      <c r="F21" s="7">
        <v>585</v>
      </c>
      <c r="G21" s="12">
        <v>1</v>
      </c>
      <c r="H21" s="15">
        <f t="shared" si="0"/>
        <v>3835</v>
      </c>
    </row>
    <row r="22" spans="1:8" x14ac:dyDescent="0.25">
      <c r="A22" s="2" t="s">
        <v>29</v>
      </c>
      <c r="B22" s="2" t="s">
        <v>10</v>
      </c>
      <c r="C22" s="7">
        <v>71</v>
      </c>
      <c r="D22" s="7">
        <v>47002.8</v>
      </c>
      <c r="E22" s="7">
        <v>662.01</v>
      </c>
      <c r="F22" s="7">
        <v>8460.5</v>
      </c>
      <c r="G22" s="12">
        <v>9</v>
      </c>
      <c r="H22" s="15">
        <f t="shared" si="0"/>
        <v>55463.3</v>
      </c>
    </row>
    <row r="23" spans="1:8" x14ac:dyDescent="0.25">
      <c r="A23" s="2" t="s">
        <v>30</v>
      </c>
      <c r="B23" s="2" t="s">
        <v>10</v>
      </c>
      <c r="C23" s="7">
        <v>11</v>
      </c>
      <c r="D23" s="7">
        <v>8532</v>
      </c>
      <c r="E23" s="7">
        <v>775.64</v>
      </c>
      <c r="F23" s="7">
        <v>1535.76</v>
      </c>
      <c r="G23" s="12">
        <v>4</v>
      </c>
      <c r="H23" s="15">
        <f t="shared" si="0"/>
        <v>10067.76</v>
      </c>
    </row>
    <row r="24" spans="1:8" x14ac:dyDescent="0.25">
      <c r="A24" s="2" t="s">
        <v>31</v>
      </c>
      <c r="B24" s="2" t="s">
        <v>17</v>
      </c>
      <c r="C24" s="7">
        <v>116</v>
      </c>
      <c r="D24" s="7">
        <v>9280</v>
      </c>
      <c r="E24" s="7">
        <v>80</v>
      </c>
      <c r="F24" s="7">
        <v>1670.4</v>
      </c>
      <c r="G24" s="12">
        <v>1</v>
      </c>
      <c r="H24" s="15">
        <f t="shared" si="0"/>
        <v>10950.4</v>
      </c>
    </row>
    <row r="25" spans="1:8" x14ac:dyDescent="0.25">
      <c r="A25" s="2" t="s">
        <v>32</v>
      </c>
      <c r="B25" s="2" t="s">
        <v>10</v>
      </c>
      <c r="C25" s="7">
        <v>30</v>
      </c>
      <c r="D25" s="7">
        <v>26280</v>
      </c>
      <c r="E25" s="7">
        <v>876</v>
      </c>
      <c r="F25" s="7">
        <v>4730.3999999999996</v>
      </c>
      <c r="G25" s="12">
        <v>6</v>
      </c>
      <c r="H25" s="15">
        <f t="shared" si="0"/>
        <v>31010.400000000001</v>
      </c>
    </row>
    <row r="26" spans="1:8" x14ac:dyDescent="0.25">
      <c r="A26" s="2" t="s">
        <v>33</v>
      </c>
      <c r="B26" s="2" t="s">
        <v>25</v>
      </c>
      <c r="C26" s="7">
        <v>75</v>
      </c>
      <c r="D26" s="7">
        <v>7917.5</v>
      </c>
      <c r="E26" s="7">
        <v>105.57</v>
      </c>
      <c r="F26" s="7">
        <v>1425.16</v>
      </c>
      <c r="G26" s="12">
        <v>3</v>
      </c>
      <c r="H26" s="15">
        <f t="shared" si="0"/>
        <v>9342.66</v>
      </c>
    </row>
    <row r="27" spans="1:8" x14ac:dyDescent="0.25">
      <c r="A27" s="2" t="s">
        <v>34</v>
      </c>
      <c r="B27" s="2" t="s">
        <v>10</v>
      </c>
      <c r="C27" s="7">
        <v>80</v>
      </c>
      <c r="D27" s="7">
        <v>12246</v>
      </c>
      <c r="E27" s="7">
        <v>153.08000000000001</v>
      </c>
      <c r="F27" s="7">
        <v>2204.2800000000002</v>
      </c>
      <c r="G27" s="12">
        <v>3</v>
      </c>
      <c r="H27" s="15">
        <f t="shared" si="0"/>
        <v>14450.28</v>
      </c>
    </row>
    <row r="28" spans="1:8" x14ac:dyDescent="0.25">
      <c r="A28" s="2" t="s">
        <v>35</v>
      </c>
      <c r="B28" s="2" t="s">
        <v>10</v>
      </c>
      <c r="C28" s="7">
        <v>130</v>
      </c>
      <c r="D28" s="7">
        <v>19284</v>
      </c>
      <c r="E28" s="7">
        <v>148.34</v>
      </c>
      <c r="F28" s="7">
        <v>3471.12</v>
      </c>
      <c r="G28" s="12">
        <v>6</v>
      </c>
      <c r="H28" s="15">
        <f t="shared" si="0"/>
        <v>22755.119999999999</v>
      </c>
    </row>
    <row r="29" spans="1:8" x14ac:dyDescent="0.25">
      <c r="A29" s="2" t="s">
        <v>36</v>
      </c>
      <c r="B29" s="2" t="s">
        <v>10</v>
      </c>
      <c r="C29" s="7">
        <v>256</v>
      </c>
      <c r="D29" s="7">
        <v>30720</v>
      </c>
      <c r="E29" s="7">
        <v>120</v>
      </c>
      <c r="F29" s="7">
        <v>5529.6</v>
      </c>
      <c r="G29" s="12">
        <v>3</v>
      </c>
      <c r="H29" s="15">
        <f t="shared" si="0"/>
        <v>36249.599999999999</v>
      </c>
    </row>
    <row r="30" spans="1:8" x14ac:dyDescent="0.25">
      <c r="A30" s="2" t="s">
        <v>37</v>
      </c>
      <c r="B30" s="2" t="s">
        <v>10</v>
      </c>
      <c r="C30" s="7">
        <v>140</v>
      </c>
      <c r="D30" s="7">
        <v>34606</v>
      </c>
      <c r="E30" s="7">
        <v>247.19</v>
      </c>
      <c r="F30" s="7">
        <v>6229.08</v>
      </c>
      <c r="G30" s="12">
        <v>5</v>
      </c>
      <c r="H30" s="15">
        <f t="shared" si="0"/>
        <v>40835.08</v>
      </c>
    </row>
    <row r="31" spans="1:8" x14ac:dyDescent="0.25">
      <c r="A31" s="2" t="s">
        <v>38</v>
      </c>
      <c r="B31" s="2" t="s">
        <v>10</v>
      </c>
      <c r="C31" s="7">
        <v>32</v>
      </c>
      <c r="D31" s="7">
        <v>4389</v>
      </c>
      <c r="E31" s="7">
        <v>137.16</v>
      </c>
      <c r="F31" s="7">
        <v>790.02</v>
      </c>
      <c r="G31" s="12">
        <v>3</v>
      </c>
      <c r="H31" s="15">
        <f t="shared" si="0"/>
        <v>5179.0200000000004</v>
      </c>
    </row>
    <row r="32" spans="1:8" x14ac:dyDescent="0.25">
      <c r="A32" s="2" t="s">
        <v>39</v>
      </c>
      <c r="B32" s="2" t="s">
        <v>10</v>
      </c>
      <c r="C32" s="7">
        <v>54</v>
      </c>
      <c r="D32" s="7">
        <v>2630</v>
      </c>
      <c r="E32" s="7">
        <v>48.7</v>
      </c>
      <c r="F32" s="7">
        <v>473.4</v>
      </c>
      <c r="G32" s="12">
        <v>3</v>
      </c>
      <c r="H32" s="15">
        <f t="shared" si="0"/>
        <v>3103.4</v>
      </c>
    </row>
    <row r="33" spans="1:8" x14ac:dyDescent="0.25">
      <c r="A33" s="2" t="s">
        <v>40</v>
      </c>
      <c r="B33" s="2" t="s">
        <v>25</v>
      </c>
      <c r="C33" s="7">
        <v>65</v>
      </c>
      <c r="D33" s="7">
        <v>6850.5</v>
      </c>
      <c r="E33" s="7">
        <v>105.39</v>
      </c>
      <c r="F33" s="7">
        <v>1233.0999999999999</v>
      </c>
      <c r="G33" s="12">
        <v>2</v>
      </c>
      <c r="H33" s="15">
        <f t="shared" si="0"/>
        <v>8083.6</v>
      </c>
    </row>
    <row r="34" spans="1:8" x14ac:dyDescent="0.25">
      <c r="A34" s="2" t="s">
        <v>41</v>
      </c>
      <c r="B34" s="2" t="s">
        <v>10</v>
      </c>
      <c r="C34" s="7">
        <v>16</v>
      </c>
      <c r="D34" s="7">
        <v>17100</v>
      </c>
      <c r="E34" s="7">
        <v>1068.75</v>
      </c>
      <c r="F34" s="7">
        <v>3078</v>
      </c>
      <c r="G34" s="12">
        <v>5</v>
      </c>
      <c r="H34" s="15">
        <f t="shared" si="0"/>
        <v>20178</v>
      </c>
    </row>
    <row r="35" spans="1:8" x14ac:dyDescent="0.25">
      <c r="A35" s="2" t="s">
        <v>42</v>
      </c>
      <c r="B35" s="2" t="s">
        <v>25</v>
      </c>
      <c r="C35" s="7">
        <v>50</v>
      </c>
      <c r="D35" s="7">
        <v>5250</v>
      </c>
      <c r="E35" s="7">
        <v>105</v>
      </c>
      <c r="F35" s="7">
        <v>945</v>
      </c>
      <c r="G35" s="12">
        <v>1</v>
      </c>
      <c r="H35" s="15">
        <f t="shared" si="0"/>
        <v>6195</v>
      </c>
    </row>
    <row r="36" spans="1:8" x14ac:dyDescent="0.25">
      <c r="A36" s="2" t="s">
        <v>43</v>
      </c>
      <c r="B36" s="2" t="s">
        <v>10</v>
      </c>
      <c r="C36" s="7">
        <v>30</v>
      </c>
      <c r="D36" s="7">
        <v>7487.25</v>
      </c>
      <c r="E36" s="7">
        <v>249.58</v>
      </c>
      <c r="F36" s="7">
        <v>1347.7</v>
      </c>
      <c r="G36" s="12">
        <v>2</v>
      </c>
      <c r="H36" s="15">
        <f t="shared" si="0"/>
        <v>8834.9500000000007</v>
      </c>
    </row>
    <row r="37" spans="1:8" x14ac:dyDescent="0.25">
      <c r="A37" s="2" t="s">
        <v>44</v>
      </c>
      <c r="B37" s="2" t="s">
        <v>10</v>
      </c>
      <c r="C37" s="7">
        <v>2</v>
      </c>
      <c r="D37" s="7">
        <v>440</v>
      </c>
      <c r="E37" s="7">
        <v>220</v>
      </c>
      <c r="F37" s="7">
        <v>79.2</v>
      </c>
      <c r="G37" s="12">
        <v>2</v>
      </c>
      <c r="H37" s="15">
        <f t="shared" si="0"/>
        <v>519.20000000000005</v>
      </c>
    </row>
    <row r="38" spans="1:8" x14ac:dyDescent="0.25">
      <c r="A38" s="2" t="s">
        <v>45</v>
      </c>
      <c r="B38" s="2" t="s">
        <v>17</v>
      </c>
      <c r="C38" s="7">
        <v>50</v>
      </c>
      <c r="D38" s="7">
        <v>800</v>
      </c>
      <c r="E38" s="7">
        <v>16</v>
      </c>
      <c r="F38" s="7">
        <v>144</v>
      </c>
      <c r="G38" s="12">
        <v>1</v>
      </c>
      <c r="H38" s="15">
        <f t="shared" si="0"/>
        <v>944</v>
      </c>
    </row>
    <row r="39" spans="1:8" x14ac:dyDescent="0.25">
      <c r="A39" s="2" t="s">
        <v>46</v>
      </c>
      <c r="B39" s="2" t="s">
        <v>10</v>
      </c>
      <c r="C39" s="7">
        <v>39</v>
      </c>
      <c r="D39" s="7">
        <v>5156</v>
      </c>
      <c r="E39" s="7">
        <v>132.21</v>
      </c>
      <c r="F39" s="7">
        <v>928.08</v>
      </c>
      <c r="G39" s="12">
        <v>3</v>
      </c>
      <c r="H39" s="15">
        <f t="shared" si="0"/>
        <v>6084.08</v>
      </c>
    </row>
    <row r="40" spans="1:8" x14ac:dyDescent="0.25">
      <c r="A40" s="2" t="s">
        <v>47</v>
      </c>
      <c r="B40" s="2" t="s">
        <v>10</v>
      </c>
      <c r="C40" s="7">
        <v>72</v>
      </c>
      <c r="D40" s="7">
        <v>5640</v>
      </c>
      <c r="E40" s="7">
        <v>78.33</v>
      </c>
      <c r="F40" s="7">
        <v>1015.2</v>
      </c>
      <c r="G40" s="12">
        <v>3</v>
      </c>
      <c r="H40" s="15">
        <f t="shared" si="0"/>
        <v>6655.2</v>
      </c>
    </row>
    <row r="41" spans="1:8" x14ac:dyDescent="0.25">
      <c r="A41" s="2" t="s">
        <v>48</v>
      </c>
      <c r="B41" s="2" t="s">
        <v>10</v>
      </c>
      <c r="C41" s="7">
        <v>511</v>
      </c>
      <c r="D41" s="7">
        <v>22995</v>
      </c>
      <c r="E41" s="7">
        <v>45</v>
      </c>
      <c r="F41" s="7">
        <v>4139.1000000000004</v>
      </c>
      <c r="G41" s="12">
        <v>3</v>
      </c>
      <c r="H41" s="15">
        <f t="shared" si="0"/>
        <v>27134.1</v>
      </c>
    </row>
    <row r="42" spans="1:8" x14ac:dyDescent="0.25">
      <c r="A42" s="2" t="s">
        <v>49</v>
      </c>
      <c r="B42" s="2" t="s">
        <v>13</v>
      </c>
      <c r="C42" s="7">
        <v>750</v>
      </c>
      <c r="D42" s="7">
        <v>2800</v>
      </c>
      <c r="E42" s="7">
        <v>3.73</v>
      </c>
      <c r="F42" s="7">
        <v>504</v>
      </c>
      <c r="G42" s="12">
        <v>3</v>
      </c>
      <c r="H42" s="15">
        <f t="shared" si="0"/>
        <v>3304</v>
      </c>
    </row>
    <row r="43" spans="1:8" x14ac:dyDescent="0.25">
      <c r="A43" s="2" t="s">
        <v>50</v>
      </c>
      <c r="B43" s="2" t="s">
        <v>25</v>
      </c>
      <c r="C43" s="7">
        <v>55</v>
      </c>
      <c r="D43" s="7">
        <v>5800</v>
      </c>
      <c r="E43" s="7">
        <v>105.45</v>
      </c>
      <c r="F43" s="7">
        <v>1044</v>
      </c>
      <c r="G43" s="12">
        <v>2</v>
      </c>
      <c r="H43" s="15">
        <f t="shared" si="0"/>
        <v>6844</v>
      </c>
    </row>
    <row r="44" spans="1:8" x14ac:dyDescent="0.25">
      <c r="A44" s="2" t="s">
        <v>51</v>
      </c>
      <c r="B44" s="2" t="s">
        <v>13</v>
      </c>
      <c r="C44" s="7">
        <v>6</v>
      </c>
      <c r="D44" s="7">
        <v>690</v>
      </c>
      <c r="E44" s="7">
        <v>115</v>
      </c>
      <c r="F44" s="7">
        <v>124.2</v>
      </c>
      <c r="G44" s="12">
        <v>1</v>
      </c>
      <c r="H44" s="15">
        <f t="shared" si="0"/>
        <v>814.2</v>
      </c>
    </row>
    <row r="45" spans="1:8" x14ac:dyDescent="0.25">
      <c r="A45" s="2" t="s">
        <v>52</v>
      </c>
      <c r="B45" s="2" t="s">
        <v>25</v>
      </c>
      <c r="C45" s="7">
        <v>15</v>
      </c>
      <c r="D45" s="7">
        <v>1600.5</v>
      </c>
      <c r="E45" s="7">
        <v>106.7</v>
      </c>
      <c r="F45" s="7">
        <v>288.08</v>
      </c>
      <c r="G45" s="12">
        <v>1</v>
      </c>
      <c r="H45" s="15">
        <f t="shared" si="0"/>
        <v>1888.58</v>
      </c>
    </row>
    <row r="46" spans="1:8" x14ac:dyDescent="0.25">
      <c r="A46" s="2" t="s">
        <v>53</v>
      </c>
      <c r="B46" s="2" t="s">
        <v>10</v>
      </c>
      <c r="C46" s="7">
        <v>40</v>
      </c>
      <c r="D46" s="7">
        <v>9320</v>
      </c>
      <c r="E46" s="7">
        <v>233</v>
      </c>
      <c r="F46" s="7">
        <v>1677.6</v>
      </c>
      <c r="G46" s="12">
        <v>4</v>
      </c>
      <c r="H46" s="15">
        <f t="shared" si="0"/>
        <v>10997.6</v>
      </c>
    </row>
    <row r="47" spans="1:8" x14ac:dyDescent="0.25">
      <c r="A47" s="2" t="s">
        <v>54</v>
      </c>
      <c r="B47" s="2" t="s">
        <v>10</v>
      </c>
      <c r="C47" s="7">
        <v>81</v>
      </c>
      <c r="D47" s="7">
        <v>12094.8</v>
      </c>
      <c r="E47" s="7">
        <v>149.32</v>
      </c>
      <c r="F47" s="7">
        <v>2177.06</v>
      </c>
      <c r="G47" s="12">
        <v>6</v>
      </c>
      <c r="H47" s="15">
        <f t="shared" si="0"/>
        <v>14271.859999999999</v>
      </c>
    </row>
    <row r="48" spans="1:8" x14ac:dyDescent="0.25">
      <c r="A48" s="2" t="s">
        <v>55</v>
      </c>
      <c r="B48" s="2" t="s">
        <v>25</v>
      </c>
      <c r="C48" s="7">
        <v>65</v>
      </c>
      <c r="D48" s="7">
        <v>6850.5</v>
      </c>
      <c r="E48" s="7">
        <v>105.39</v>
      </c>
      <c r="F48" s="7">
        <v>1233.08</v>
      </c>
      <c r="G48" s="12">
        <v>2</v>
      </c>
      <c r="H48" s="15">
        <f t="shared" si="0"/>
        <v>8083.58</v>
      </c>
    </row>
    <row r="49" spans="1:8" x14ac:dyDescent="0.25">
      <c r="A49" s="2" t="s">
        <v>56</v>
      </c>
      <c r="B49" s="2" t="s">
        <v>10</v>
      </c>
      <c r="C49" s="7">
        <v>70</v>
      </c>
      <c r="D49" s="7">
        <v>23364</v>
      </c>
      <c r="E49" s="7">
        <v>333.77</v>
      </c>
      <c r="F49" s="7">
        <v>4205.5200000000004</v>
      </c>
      <c r="G49" s="12">
        <v>5</v>
      </c>
      <c r="H49" s="15">
        <f t="shared" si="0"/>
        <v>27569.52</v>
      </c>
    </row>
    <row r="50" spans="1:8" x14ac:dyDescent="0.25">
      <c r="A50" s="2" t="s">
        <v>57</v>
      </c>
      <c r="B50" s="2" t="s">
        <v>10</v>
      </c>
      <c r="C50" s="7">
        <v>50</v>
      </c>
      <c r="D50" s="7">
        <v>18000</v>
      </c>
      <c r="E50" s="7">
        <v>360</v>
      </c>
      <c r="F50" s="7">
        <v>3240</v>
      </c>
      <c r="G50" s="12">
        <v>1</v>
      </c>
      <c r="H50" s="15">
        <f t="shared" si="0"/>
        <v>21240</v>
      </c>
    </row>
    <row r="51" spans="1:8" x14ac:dyDescent="0.25">
      <c r="A51" s="2" t="s">
        <v>58</v>
      </c>
      <c r="B51" s="2" t="s">
        <v>10</v>
      </c>
      <c r="C51" s="7">
        <v>126</v>
      </c>
      <c r="D51" s="7">
        <v>57540</v>
      </c>
      <c r="E51" s="7">
        <v>456.67</v>
      </c>
      <c r="F51" s="7">
        <v>10357.200000000001</v>
      </c>
      <c r="G51" s="12">
        <v>8</v>
      </c>
      <c r="H51" s="15">
        <f t="shared" si="0"/>
        <v>67897.2</v>
      </c>
    </row>
    <row r="52" spans="1:8" x14ac:dyDescent="0.25">
      <c r="A52" s="2" t="s">
        <v>59</v>
      </c>
      <c r="B52" s="2" t="s">
        <v>13</v>
      </c>
      <c r="C52" s="7">
        <v>24</v>
      </c>
      <c r="D52" s="7">
        <v>1032</v>
      </c>
      <c r="E52" s="7">
        <v>43</v>
      </c>
      <c r="F52" s="7">
        <v>185.76</v>
      </c>
      <c r="G52" s="12">
        <v>1</v>
      </c>
      <c r="H52" s="15">
        <f t="shared" si="0"/>
        <v>1217.76</v>
      </c>
    </row>
    <row r="53" spans="1:8" x14ac:dyDescent="0.25">
      <c r="A53" s="2" t="s">
        <v>60</v>
      </c>
      <c r="B53" s="2" t="s">
        <v>17</v>
      </c>
      <c r="C53" s="7">
        <v>736</v>
      </c>
      <c r="D53" s="7">
        <v>23022</v>
      </c>
      <c r="E53" s="7">
        <v>31.28</v>
      </c>
      <c r="F53" s="7">
        <v>4143.96</v>
      </c>
      <c r="G53" s="12">
        <v>3</v>
      </c>
      <c r="H53" s="15">
        <f t="shared" si="0"/>
        <v>27165.96</v>
      </c>
    </row>
    <row r="54" spans="1:8" x14ac:dyDescent="0.25">
      <c r="A54" s="2" t="s">
        <v>61</v>
      </c>
      <c r="B54" s="2" t="s">
        <v>10</v>
      </c>
      <c r="C54" s="7">
        <v>76</v>
      </c>
      <c r="D54" s="7">
        <v>37576.800000000003</v>
      </c>
      <c r="E54" s="7">
        <v>494.43</v>
      </c>
      <c r="F54" s="7">
        <v>6763.82</v>
      </c>
      <c r="G54" s="12">
        <v>9</v>
      </c>
      <c r="H54" s="15">
        <f t="shared" si="0"/>
        <v>44340.62</v>
      </c>
    </row>
    <row r="55" spans="1:8" x14ac:dyDescent="0.25">
      <c r="A55" s="2" t="s">
        <v>62</v>
      </c>
      <c r="B55" s="2" t="s">
        <v>10</v>
      </c>
      <c r="C55" s="7">
        <v>71</v>
      </c>
      <c r="D55" s="7">
        <v>40194</v>
      </c>
      <c r="E55" s="7">
        <v>566.11</v>
      </c>
      <c r="F55" s="7">
        <v>7234.92</v>
      </c>
      <c r="G55" s="12">
        <v>9</v>
      </c>
      <c r="H55" s="15">
        <f t="shared" si="0"/>
        <v>47428.92</v>
      </c>
    </row>
    <row r="56" spans="1:8" x14ac:dyDescent="0.25">
      <c r="A56" s="2" t="s">
        <v>63</v>
      </c>
      <c r="B56" s="2" t="s">
        <v>64</v>
      </c>
      <c r="C56" s="7">
        <v>14</v>
      </c>
      <c r="D56" s="7">
        <v>2982</v>
      </c>
      <c r="E56" s="7">
        <v>213</v>
      </c>
      <c r="F56" s="7">
        <v>536.76</v>
      </c>
      <c r="G56" s="12">
        <v>1</v>
      </c>
      <c r="H56" s="15">
        <f t="shared" si="0"/>
        <v>3518.76</v>
      </c>
    </row>
    <row r="57" spans="1:8" x14ac:dyDescent="0.25">
      <c r="A57" s="2" t="s">
        <v>65</v>
      </c>
      <c r="B57" s="2" t="s">
        <v>64</v>
      </c>
      <c r="C57" s="7">
        <v>12</v>
      </c>
      <c r="D57" s="7">
        <v>2928</v>
      </c>
      <c r="E57" s="7">
        <v>244</v>
      </c>
      <c r="F57" s="7">
        <v>527.04</v>
      </c>
      <c r="G57" s="12">
        <v>1</v>
      </c>
      <c r="H57" s="15">
        <f t="shared" si="0"/>
        <v>3455.04</v>
      </c>
    </row>
    <row r="58" spans="1:8" x14ac:dyDescent="0.25">
      <c r="A58" s="2" t="s">
        <v>66</v>
      </c>
      <c r="B58" s="2" t="s">
        <v>64</v>
      </c>
      <c r="C58" s="7">
        <v>12</v>
      </c>
      <c r="D58" s="7">
        <v>3300</v>
      </c>
      <c r="E58" s="7">
        <v>275</v>
      </c>
      <c r="F58" s="7">
        <v>594</v>
      </c>
      <c r="G58" s="12">
        <v>1</v>
      </c>
      <c r="H58" s="15">
        <f t="shared" si="0"/>
        <v>3894</v>
      </c>
    </row>
    <row r="59" spans="1:8" x14ac:dyDescent="0.25">
      <c r="A59" s="2" t="s">
        <v>67</v>
      </c>
      <c r="B59" s="2" t="s">
        <v>64</v>
      </c>
      <c r="C59" s="7">
        <v>15</v>
      </c>
      <c r="D59" s="7">
        <v>1920</v>
      </c>
      <c r="E59" s="7">
        <v>128</v>
      </c>
      <c r="F59" s="7">
        <v>345.6</v>
      </c>
      <c r="G59" s="12">
        <v>1</v>
      </c>
      <c r="H59" s="15">
        <f t="shared" si="0"/>
        <v>2265.6</v>
      </c>
    </row>
    <row r="60" spans="1:8" x14ac:dyDescent="0.25">
      <c r="A60" s="2" t="s">
        <v>68</v>
      </c>
      <c r="B60" s="2" t="s">
        <v>64</v>
      </c>
      <c r="C60" s="7">
        <v>14</v>
      </c>
      <c r="D60" s="7">
        <v>2072</v>
      </c>
      <c r="E60" s="7">
        <v>148</v>
      </c>
      <c r="F60" s="7">
        <v>372.96</v>
      </c>
      <c r="G60" s="12">
        <v>1</v>
      </c>
      <c r="H60" s="15">
        <f t="shared" si="0"/>
        <v>2444.96</v>
      </c>
    </row>
    <row r="61" spans="1:8" x14ac:dyDescent="0.25">
      <c r="A61" s="2" t="s">
        <v>69</v>
      </c>
      <c r="B61" s="2" t="s">
        <v>64</v>
      </c>
      <c r="C61" s="7">
        <v>40</v>
      </c>
      <c r="D61" s="7">
        <v>7200</v>
      </c>
      <c r="E61" s="7">
        <v>180</v>
      </c>
      <c r="F61" s="7">
        <v>1296</v>
      </c>
      <c r="G61" s="12">
        <v>1</v>
      </c>
      <c r="H61" s="15">
        <f t="shared" si="0"/>
        <v>8496</v>
      </c>
    </row>
    <row r="62" spans="1:8" x14ac:dyDescent="0.25">
      <c r="A62" s="2" t="s">
        <v>70</v>
      </c>
      <c r="B62" s="2" t="s">
        <v>13</v>
      </c>
      <c r="C62" s="7">
        <v>10</v>
      </c>
      <c r="D62" s="7">
        <v>1800</v>
      </c>
      <c r="E62" s="7">
        <v>180</v>
      </c>
      <c r="F62" s="7">
        <v>324</v>
      </c>
      <c r="G62" s="12">
        <v>1</v>
      </c>
      <c r="H62" s="15">
        <f t="shared" si="0"/>
        <v>2124</v>
      </c>
    </row>
    <row r="63" spans="1:8" x14ac:dyDescent="0.25">
      <c r="A63" s="2" t="s">
        <v>71</v>
      </c>
      <c r="B63" s="2" t="s">
        <v>13</v>
      </c>
      <c r="C63" s="7">
        <v>225</v>
      </c>
      <c r="D63" s="7">
        <v>1800</v>
      </c>
      <c r="E63" s="7">
        <v>8</v>
      </c>
      <c r="F63" s="7">
        <v>324</v>
      </c>
      <c r="G63" s="12">
        <v>1</v>
      </c>
      <c r="H63" s="15">
        <f t="shared" si="0"/>
        <v>2124</v>
      </c>
    </row>
    <row r="64" spans="1:8" x14ac:dyDescent="0.25">
      <c r="A64" s="2" t="s">
        <v>72</v>
      </c>
      <c r="B64" s="2" t="s">
        <v>13</v>
      </c>
      <c r="C64" s="7">
        <v>600</v>
      </c>
      <c r="D64" s="7">
        <v>3600</v>
      </c>
      <c r="E64" s="7">
        <v>6</v>
      </c>
      <c r="F64" s="7">
        <v>648</v>
      </c>
      <c r="G64" s="12">
        <v>1</v>
      </c>
      <c r="H64" s="15">
        <f t="shared" si="0"/>
        <v>4248</v>
      </c>
    </row>
    <row r="65" spans="1:8" x14ac:dyDescent="0.25">
      <c r="A65" s="2" t="s">
        <v>73</v>
      </c>
      <c r="B65" s="2" t="s">
        <v>17</v>
      </c>
      <c r="C65" s="7">
        <v>25</v>
      </c>
      <c r="D65" s="7">
        <v>3250</v>
      </c>
      <c r="E65" s="7">
        <v>130</v>
      </c>
      <c r="F65" s="7">
        <v>585</v>
      </c>
      <c r="G65" s="12">
        <v>1</v>
      </c>
      <c r="H65" s="15">
        <f t="shared" si="0"/>
        <v>3835</v>
      </c>
    </row>
    <row r="66" spans="1:8" x14ac:dyDescent="0.25">
      <c r="A66" s="2" t="s">
        <v>74</v>
      </c>
      <c r="B66" s="2" t="s">
        <v>17</v>
      </c>
      <c r="C66" s="7">
        <v>706</v>
      </c>
      <c r="D66" s="7">
        <v>52992</v>
      </c>
      <c r="E66" s="7">
        <v>75.06</v>
      </c>
      <c r="F66" s="7">
        <v>9538.56</v>
      </c>
      <c r="G66" s="12">
        <v>3</v>
      </c>
      <c r="H66" s="15">
        <f t="shared" si="0"/>
        <v>62530.559999999998</v>
      </c>
    </row>
    <row r="67" spans="1:8" x14ac:dyDescent="0.25">
      <c r="A67" s="2" t="s">
        <v>75</v>
      </c>
      <c r="B67" s="2" t="s">
        <v>17</v>
      </c>
      <c r="C67" s="7">
        <v>50</v>
      </c>
      <c r="D67" s="7">
        <v>2750</v>
      </c>
      <c r="E67" s="7">
        <v>55</v>
      </c>
      <c r="F67" s="7">
        <v>495</v>
      </c>
      <c r="G67" s="12">
        <v>1</v>
      </c>
      <c r="H67" s="15">
        <f t="shared" si="0"/>
        <v>3245</v>
      </c>
    </row>
    <row r="68" spans="1:8" x14ac:dyDescent="0.25">
      <c r="A68" s="2" t="s">
        <v>76</v>
      </c>
      <c r="B68" s="2" t="s">
        <v>13</v>
      </c>
      <c r="C68" s="7">
        <v>5</v>
      </c>
      <c r="D68" s="7">
        <v>625</v>
      </c>
      <c r="E68" s="7">
        <v>125</v>
      </c>
      <c r="F68" s="7">
        <v>112.5</v>
      </c>
      <c r="G68" s="12">
        <v>1</v>
      </c>
      <c r="H68" s="15">
        <f t="shared" si="0"/>
        <v>737.5</v>
      </c>
    </row>
    <row r="69" spans="1:8" x14ac:dyDescent="0.25">
      <c r="A69" s="2" t="s">
        <v>77</v>
      </c>
      <c r="B69" s="2" t="s">
        <v>13</v>
      </c>
      <c r="C69" s="7">
        <v>5</v>
      </c>
      <c r="D69" s="7">
        <v>550</v>
      </c>
      <c r="E69" s="7">
        <v>110</v>
      </c>
      <c r="F69" s="7">
        <v>99</v>
      </c>
      <c r="G69" s="12">
        <v>1</v>
      </c>
      <c r="H69" s="15">
        <f t="shared" si="0"/>
        <v>649</v>
      </c>
    </row>
    <row r="70" spans="1:8" x14ac:dyDescent="0.25">
      <c r="A70" s="2" t="s">
        <v>78</v>
      </c>
      <c r="B70" s="2" t="s">
        <v>13</v>
      </c>
      <c r="C70" s="7">
        <v>30</v>
      </c>
      <c r="D70" s="7">
        <v>5050</v>
      </c>
      <c r="E70" s="7">
        <v>168.33</v>
      </c>
      <c r="F70" s="7">
        <v>909</v>
      </c>
      <c r="G70" s="12">
        <v>2</v>
      </c>
      <c r="H70" s="15">
        <f t="shared" si="0"/>
        <v>5959</v>
      </c>
    </row>
    <row r="71" spans="1:8" x14ac:dyDescent="0.25">
      <c r="A71" s="2" t="s">
        <v>79</v>
      </c>
      <c r="B71" s="2" t="s">
        <v>13</v>
      </c>
      <c r="C71" s="7">
        <v>36</v>
      </c>
      <c r="D71" s="7">
        <v>306</v>
      </c>
      <c r="E71" s="7">
        <v>8.5</v>
      </c>
      <c r="F71" s="7">
        <v>55.08</v>
      </c>
      <c r="G71" s="12">
        <v>1</v>
      </c>
      <c r="H71" s="15">
        <f t="shared" si="0"/>
        <v>361.08</v>
      </c>
    </row>
    <row r="72" spans="1:8" x14ac:dyDescent="0.25">
      <c r="A72" s="2" t="s">
        <v>80</v>
      </c>
      <c r="B72" s="2" t="s">
        <v>13</v>
      </c>
      <c r="C72" s="7">
        <v>36</v>
      </c>
      <c r="D72" s="7">
        <v>504</v>
      </c>
      <c r="E72" s="7">
        <v>14</v>
      </c>
      <c r="F72" s="7">
        <v>90.72</v>
      </c>
      <c r="G72" s="12">
        <v>1</v>
      </c>
      <c r="H72" s="15">
        <f t="shared" ref="H72:H73" si="1">SUM(D72,F72)</f>
        <v>594.72</v>
      </c>
    </row>
    <row r="73" spans="1:8" x14ac:dyDescent="0.25">
      <c r="A73" s="2" t="s">
        <v>81</v>
      </c>
      <c r="B73" s="2" t="s">
        <v>13</v>
      </c>
      <c r="C73" s="7">
        <v>24</v>
      </c>
      <c r="D73" s="7">
        <v>180</v>
      </c>
      <c r="E73" s="7">
        <v>7.5</v>
      </c>
      <c r="F73" s="7">
        <v>32.4</v>
      </c>
      <c r="G73" s="12">
        <v>1</v>
      </c>
      <c r="H73" s="15">
        <f t="shared" si="1"/>
        <v>212.4</v>
      </c>
    </row>
    <row r="74" spans="1:8" x14ac:dyDescent="0.25">
      <c r="A74" s="3"/>
      <c r="B74" s="3"/>
      <c r="C74" s="8"/>
      <c r="D74" s="8"/>
      <c r="E74" s="8"/>
      <c r="F74" s="8"/>
      <c r="G74" s="13"/>
    </row>
    <row r="75" spans="1:8" x14ac:dyDescent="0.25">
      <c r="A75" s="4"/>
      <c r="B75" s="5" t="s">
        <v>82</v>
      </c>
      <c r="C75" s="9">
        <v>8354</v>
      </c>
      <c r="D75" s="9">
        <v>708774.2</v>
      </c>
      <c r="E75" s="10"/>
      <c r="F75" s="9">
        <v>127579.36</v>
      </c>
      <c r="G75" s="14"/>
    </row>
    <row r="77" spans="1:8" ht="15.75" x14ac:dyDescent="0.25">
      <c r="E77" s="19" t="s">
        <v>83</v>
      </c>
      <c r="F77" s="20"/>
      <c r="G77" s="20"/>
    </row>
    <row r="79" spans="1:8" x14ac:dyDescent="0.25">
      <c r="F79" s="17" t="s">
        <v>84</v>
      </c>
      <c r="G79" s="18">
        <f>SUM(H7:H73)</f>
        <v>836353.56</v>
      </c>
    </row>
  </sheetData>
  <mergeCells count="7">
    <mergeCell ref="E77:G77"/>
    <mergeCell ref="A1:G1"/>
    <mergeCell ref="A2:G2"/>
    <mergeCell ref="A3:G3"/>
    <mergeCell ref="A4:G4"/>
    <mergeCell ref="A5:D5"/>
    <mergeCell ref="E5:G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2026-01-15T11:08:17Z</dcterms:created>
  <dcterms:modified xsi:type="dcterms:W3CDTF">2026-01-15T11:22:58Z</dcterms:modified>
</cp:coreProperties>
</file>