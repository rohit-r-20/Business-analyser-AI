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usiness intelligence dashboard\Sample data sets\"/>
    </mc:Choice>
  </mc:AlternateContent>
  <xr:revisionPtr revIDLastSave="0" documentId="13_ncr:1_{F850DE86-B62E-4E7B-AEF6-A6B547AA3E3B}" xr6:coauthVersionLast="36" xr6:coauthVersionMax="36" xr10:uidLastSave="{00000000-0000-0000-0000-000000000000}"/>
  <bookViews>
    <workbookView xWindow="0" yWindow="0" windowWidth="28800" windowHeight="14445" xr2:uid="{DD75D82C-88B2-4CE8-AED8-EA67BBF03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7" i="1"/>
</calcChain>
</file>

<file path=xl/sharedStrings.xml><?xml version="1.0" encoding="utf-8"?>
<sst xmlns="http://schemas.openxmlformats.org/spreadsheetml/2006/main" count="81" uniqueCount="52">
  <si>
    <t>All Items</t>
  </si>
  <si>
    <t>From 01-12-2025 to 31-12-2025</t>
  </si>
  <si>
    <t>Item Details</t>
  </si>
  <si>
    <t>Unit</t>
  </si>
  <si>
    <t>Nett Purc. Qty.</t>
  </si>
  <si>
    <t>Nett Purc. Amt.</t>
  </si>
  <si>
    <t>Avg. Price</t>
  </si>
  <si>
    <t>GST Amt.</t>
  </si>
  <si>
    <t>No. of Vch.(Purc)</t>
  </si>
  <si>
    <t>1 1/4-SP-CLAMPS HEAVY</t>
  </si>
  <si>
    <t>Dozen</t>
  </si>
  <si>
    <t>1 SP CLAMPS 3MM</t>
  </si>
  <si>
    <t>1 U CLAMPS H</t>
  </si>
  <si>
    <t>12 GI U CLAMPS 25X2</t>
  </si>
  <si>
    <t>PCS</t>
  </si>
  <si>
    <t>12*3 BRACKET CLAMPS</t>
  </si>
  <si>
    <t>Pcs.</t>
  </si>
  <si>
    <t>12X3 BRACKET CLAMPS (LG)</t>
  </si>
  <si>
    <t>15X3 BRACKET CLAMPS (LG)</t>
  </si>
  <si>
    <t>16 GI U CLAMP 25X2MM</t>
  </si>
  <si>
    <t>18X3 BRACKET CLAMPS (LG)</t>
  </si>
  <si>
    <t>2 1/2   SP CLAMPS</t>
  </si>
  <si>
    <t>24X3 BRACKET CLAMPS (LG)</t>
  </si>
  <si>
    <t>3 SP CLAMPS</t>
  </si>
  <si>
    <t>3 U CLAMPS H</t>
  </si>
  <si>
    <t>3/4 SP CLAMPS</t>
  </si>
  <si>
    <t>3/4 U CLAMPS H</t>
  </si>
  <si>
    <t>4 SP CLAMPS</t>
  </si>
  <si>
    <t>4 U CLAMPS H</t>
  </si>
  <si>
    <t>4X3 BRACKET CLAMPS(LG)</t>
  </si>
  <si>
    <t>4X6 BRACKETS</t>
  </si>
  <si>
    <t>6 SP CLAMPS</t>
  </si>
  <si>
    <t>6 U CLAMPS H</t>
  </si>
  <si>
    <t>6x2 Bracket Clamp</t>
  </si>
  <si>
    <t>6X3 BRACKET CLAMPS (LG)</t>
  </si>
  <si>
    <t>6x6 BRACKETS</t>
  </si>
  <si>
    <t>9X3 BRACKET CLAMPS (LG)</t>
  </si>
  <si>
    <t>9X6 BRACKETS</t>
  </si>
  <si>
    <t>C V  WIGHTS-4''</t>
  </si>
  <si>
    <t>GF7001(1HP 4P B3220 V)</t>
  </si>
  <si>
    <t>GI WALL BRACKETS 12X5</t>
  </si>
  <si>
    <t>GI WALL BRACKETS 9X4</t>
  </si>
  <si>
    <t>MS HEX NUT-6MM</t>
  </si>
  <si>
    <t>Kgs.</t>
  </si>
  <si>
    <t>WALL BRACKETS 18X6</t>
  </si>
  <si>
    <t>Nos</t>
  </si>
  <si>
    <t>ZINC ANODES</t>
  </si>
  <si>
    <t>ZINC INGOTS</t>
  </si>
  <si>
    <t>Total</t>
  </si>
  <si>
    <t>Total Avg. Price : 53.80</t>
  </si>
  <si>
    <t>TOTAL Value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</si>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</sst>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5EE3-B0C5-4865-92EA-B1271D0744C4}">
  <dimension ref="A1:H45"/>
  <sheetViews>
    <sheetView tabSelected="1" topLeftCell="A25" workbookViewId="0">
      <selection activeCell="G46" sqref="G46"/>
    </sheetView>
  </sheetViews>
  <sheetFormatPr defaultRowHeight="15" x14ac:dyDescent="0.25"/>
  <cols>
    <col min="1" max="1" width="54.7109375" customWidth="1"/>
    <col min="2" max="2" width="13.7109375" customWidth="1"/>
    <col min="3" max="6" width="22.7109375" customWidth="1"/>
    <col min="7" max="7" width="18.7109375" customWidth="1"/>
  </cols>
  <sheetData>
    <row r="1" spans="1:8" ht="22.5" x14ac:dyDescent="0.3">
      <c r="A1" s="17"/>
      <c r="B1" s="18"/>
      <c r="C1" s="18"/>
      <c r="D1" s="18"/>
      <c r="E1" s="18"/>
      <c r="F1" s="18"/>
      <c r="G1" s="18"/>
    </row>
    <row r="2" spans="1:8" ht="15.75" x14ac:dyDescent="0.25">
      <c r="A2" s="19"/>
      <c r="B2" s="18"/>
      <c r="C2" s="18"/>
      <c r="D2" s="18"/>
      <c r="E2" s="18"/>
      <c r="F2" s="18"/>
      <c r="G2" s="18"/>
    </row>
    <row r="3" spans="1:8" ht="15.75" x14ac:dyDescent="0.25">
      <c r="A3" s="19"/>
      <c r="B3" s="18"/>
      <c r="C3" s="18"/>
      <c r="D3" s="18"/>
      <c r="E3" s="18"/>
      <c r="F3" s="18"/>
      <c r="G3" s="18"/>
    </row>
    <row r="4" spans="1:8" ht="18.75" x14ac:dyDescent="0.3">
      <c r="A4" s="20"/>
      <c r="B4" s="18"/>
      <c r="C4" s="18"/>
      <c r="D4" s="18"/>
      <c r="E4" s="18"/>
      <c r="F4" s="18"/>
      <c r="G4" s="18"/>
    </row>
    <row r="5" spans="1:8" ht="15.75" x14ac:dyDescent="0.25">
      <c r="A5" s="21" t="s">
        <v>0</v>
      </c>
      <c r="B5" s="22"/>
      <c r="C5" s="22"/>
      <c r="D5" s="22"/>
      <c r="E5" s="15" t="s">
        <v>1</v>
      </c>
      <c r="F5" s="16"/>
      <c r="G5" s="16"/>
    </row>
    <row r="6" spans="1:8" x14ac:dyDescent="0.25">
      <c r="A6" s="1" t="s">
        <v>2</v>
      </c>
      <c r="B6" s="1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11" t="s">
        <v>8</v>
      </c>
      <c r="H6" s="23" t="s">
        <v>50</v>
      </c>
    </row>
    <row r="7" spans="1:8" x14ac:dyDescent="0.25">
      <c r="A7" s="2" t="s">
        <v>9</v>
      </c>
      <c r="B7" s="2" t="s">
        <v>10</v>
      </c>
      <c r="C7" s="7">
        <v>50</v>
      </c>
      <c r="D7" s="7">
        <v>5900</v>
      </c>
      <c r="E7" s="7">
        <v>118</v>
      </c>
      <c r="F7" s="7">
        <v>1062</v>
      </c>
      <c r="G7" s="12">
        <v>1</v>
      </c>
      <c r="H7" s="24">
        <f>SUM(D7,F7)</f>
        <v>6962</v>
      </c>
    </row>
    <row r="8" spans="1:8" x14ac:dyDescent="0.25">
      <c r="A8" s="2" t="s">
        <v>11</v>
      </c>
      <c r="B8" s="2" t="s">
        <v>10</v>
      </c>
      <c r="C8" s="7">
        <v>320</v>
      </c>
      <c r="D8" s="7">
        <v>19360</v>
      </c>
      <c r="E8" s="7">
        <v>60.5</v>
      </c>
      <c r="F8" s="7">
        <v>3484.8</v>
      </c>
      <c r="G8" s="12">
        <v>1</v>
      </c>
      <c r="H8" s="24">
        <f t="shared" ref="H8:H40" si="0">SUM(D8,F8)</f>
        <v>22844.799999999999</v>
      </c>
    </row>
    <row r="9" spans="1:8" x14ac:dyDescent="0.25">
      <c r="A9" s="2" t="s">
        <v>12</v>
      </c>
      <c r="B9" s="2" t="s">
        <v>10</v>
      </c>
      <c r="C9" s="7">
        <v>290</v>
      </c>
      <c r="D9" s="7">
        <v>10150</v>
      </c>
      <c r="E9" s="7">
        <v>35</v>
      </c>
      <c r="F9" s="7">
        <v>1827</v>
      </c>
      <c r="G9" s="12">
        <v>1</v>
      </c>
      <c r="H9" s="24">
        <f t="shared" si="0"/>
        <v>11977</v>
      </c>
    </row>
    <row r="10" spans="1:8" x14ac:dyDescent="0.25">
      <c r="A10" s="2" t="s">
        <v>13</v>
      </c>
      <c r="B10" s="2" t="s">
        <v>14</v>
      </c>
      <c r="C10" s="7">
        <v>156</v>
      </c>
      <c r="D10" s="7">
        <v>3249.48</v>
      </c>
      <c r="E10" s="7">
        <v>20.83</v>
      </c>
      <c r="F10" s="7">
        <v>584.9</v>
      </c>
      <c r="G10" s="12">
        <v>1</v>
      </c>
      <c r="H10" s="24">
        <f t="shared" si="0"/>
        <v>3834.38</v>
      </c>
    </row>
    <row r="11" spans="1:8" x14ac:dyDescent="0.25">
      <c r="A11" s="2" t="s">
        <v>15</v>
      </c>
      <c r="B11" s="2" t="s">
        <v>16</v>
      </c>
      <c r="C11" s="7">
        <v>4</v>
      </c>
      <c r="D11" s="7">
        <v>200</v>
      </c>
      <c r="E11" s="7">
        <v>50</v>
      </c>
      <c r="F11" s="7">
        <v>36</v>
      </c>
      <c r="G11" s="12">
        <v>1</v>
      </c>
      <c r="H11" s="24">
        <f t="shared" si="0"/>
        <v>236</v>
      </c>
    </row>
    <row r="12" spans="1:8" x14ac:dyDescent="0.25">
      <c r="A12" s="2" t="s">
        <v>17</v>
      </c>
      <c r="B12" s="2" t="s">
        <v>10</v>
      </c>
      <c r="C12" s="7">
        <v>8</v>
      </c>
      <c r="D12" s="7">
        <v>4608</v>
      </c>
      <c r="E12" s="7">
        <v>576</v>
      </c>
      <c r="F12" s="7">
        <v>829.44</v>
      </c>
      <c r="G12" s="12">
        <v>2</v>
      </c>
      <c r="H12" s="24">
        <f t="shared" si="0"/>
        <v>5437.4400000000005</v>
      </c>
    </row>
    <row r="13" spans="1:8" x14ac:dyDescent="0.25">
      <c r="A13" s="2" t="s">
        <v>18</v>
      </c>
      <c r="B13" s="2" t="s">
        <v>10</v>
      </c>
      <c r="C13" s="7">
        <v>8</v>
      </c>
      <c r="D13" s="7">
        <v>5376</v>
      </c>
      <c r="E13" s="7">
        <v>672</v>
      </c>
      <c r="F13" s="7">
        <v>967.68</v>
      </c>
      <c r="G13" s="12">
        <v>2</v>
      </c>
      <c r="H13" s="24">
        <f t="shared" si="0"/>
        <v>6343.68</v>
      </c>
    </row>
    <row r="14" spans="1:8" x14ac:dyDescent="0.25">
      <c r="A14" s="2" t="s">
        <v>19</v>
      </c>
      <c r="B14" s="2" t="s">
        <v>14</v>
      </c>
      <c r="C14" s="7">
        <v>125</v>
      </c>
      <c r="D14" s="7">
        <v>4250</v>
      </c>
      <c r="E14" s="7">
        <v>34</v>
      </c>
      <c r="F14" s="7">
        <v>765</v>
      </c>
      <c r="G14" s="12">
        <v>1</v>
      </c>
      <c r="H14" s="24">
        <f t="shared" si="0"/>
        <v>5015</v>
      </c>
    </row>
    <row r="15" spans="1:8" x14ac:dyDescent="0.25">
      <c r="A15" s="2" t="s">
        <v>20</v>
      </c>
      <c r="B15" s="2" t="s">
        <v>10</v>
      </c>
      <c r="C15" s="7">
        <v>20</v>
      </c>
      <c r="D15" s="7">
        <v>15240</v>
      </c>
      <c r="E15" s="7">
        <v>762</v>
      </c>
      <c r="F15" s="7">
        <v>2743.2</v>
      </c>
      <c r="G15" s="12">
        <v>2</v>
      </c>
      <c r="H15" s="24">
        <f t="shared" si="0"/>
        <v>17983.2</v>
      </c>
    </row>
    <row r="16" spans="1:8" x14ac:dyDescent="0.25">
      <c r="A16" s="2" t="s">
        <v>21</v>
      </c>
      <c r="B16" s="2" t="s">
        <v>10</v>
      </c>
      <c r="C16" s="7">
        <v>297</v>
      </c>
      <c r="D16" s="7">
        <v>28512</v>
      </c>
      <c r="E16" s="7">
        <v>96</v>
      </c>
      <c r="F16" s="7">
        <v>5132.16</v>
      </c>
      <c r="G16" s="12">
        <v>2</v>
      </c>
      <c r="H16" s="24">
        <f t="shared" si="0"/>
        <v>33644.160000000003</v>
      </c>
    </row>
    <row r="17" spans="1:8" x14ac:dyDescent="0.25">
      <c r="A17" s="2" t="s">
        <v>22</v>
      </c>
      <c r="B17" s="2" t="s">
        <v>10</v>
      </c>
      <c r="C17" s="7">
        <v>5</v>
      </c>
      <c r="D17" s="7">
        <v>4620</v>
      </c>
      <c r="E17" s="7">
        <v>924</v>
      </c>
      <c r="F17" s="7">
        <v>831.6</v>
      </c>
      <c r="G17" s="12">
        <v>1</v>
      </c>
      <c r="H17" s="24">
        <f t="shared" si="0"/>
        <v>5451.6</v>
      </c>
    </row>
    <row r="18" spans="1:8" x14ac:dyDescent="0.25">
      <c r="A18" s="2" t="s">
        <v>23</v>
      </c>
      <c r="B18" s="2" t="s">
        <v>10</v>
      </c>
      <c r="C18" s="7">
        <v>60</v>
      </c>
      <c r="D18" s="7">
        <v>7860</v>
      </c>
      <c r="E18" s="7">
        <v>131</v>
      </c>
      <c r="F18" s="7">
        <v>1414.8</v>
      </c>
      <c r="G18" s="12">
        <v>1</v>
      </c>
      <c r="H18" s="24">
        <f t="shared" si="0"/>
        <v>9274.7999999999993</v>
      </c>
    </row>
    <row r="19" spans="1:8" x14ac:dyDescent="0.25">
      <c r="A19" s="2" t="s">
        <v>24</v>
      </c>
      <c r="B19" s="2" t="s">
        <v>10</v>
      </c>
      <c r="C19" s="7">
        <v>200</v>
      </c>
      <c r="D19" s="7">
        <v>11000</v>
      </c>
      <c r="E19" s="7">
        <v>55</v>
      </c>
      <c r="F19" s="7">
        <v>1980</v>
      </c>
      <c r="G19" s="12">
        <v>1</v>
      </c>
      <c r="H19" s="24">
        <f t="shared" si="0"/>
        <v>12980</v>
      </c>
    </row>
    <row r="20" spans="1:8" x14ac:dyDescent="0.25">
      <c r="A20" s="2" t="s">
        <v>25</v>
      </c>
      <c r="B20" s="2" t="s">
        <v>10</v>
      </c>
      <c r="C20" s="7">
        <v>150</v>
      </c>
      <c r="D20" s="7">
        <v>6450</v>
      </c>
      <c r="E20" s="7">
        <v>43</v>
      </c>
      <c r="F20" s="7">
        <v>1161</v>
      </c>
      <c r="G20" s="12">
        <v>1</v>
      </c>
      <c r="H20" s="24">
        <f t="shared" si="0"/>
        <v>7611</v>
      </c>
    </row>
    <row r="21" spans="1:8" x14ac:dyDescent="0.25">
      <c r="A21" s="2" t="s">
        <v>26</v>
      </c>
      <c r="B21" s="2" t="s">
        <v>10</v>
      </c>
      <c r="C21" s="7">
        <v>225</v>
      </c>
      <c r="D21" s="7">
        <v>7875</v>
      </c>
      <c r="E21" s="7">
        <v>35</v>
      </c>
      <c r="F21" s="7">
        <v>1417.5</v>
      </c>
      <c r="G21" s="12">
        <v>1</v>
      </c>
      <c r="H21" s="24">
        <f t="shared" si="0"/>
        <v>9292.5</v>
      </c>
    </row>
    <row r="22" spans="1:8" x14ac:dyDescent="0.25">
      <c r="A22" s="2" t="s">
        <v>27</v>
      </c>
      <c r="B22" s="2" t="s">
        <v>10</v>
      </c>
      <c r="C22" s="7">
        <v>100</v>
      </c>
      <c r="D22" s="7">
        <v>14850</v>
      </c>
      <c r="E22" s="7">
        <v>148.5</v>
      </c>
      <c r="F22" s="7">
        <v>2673</v>
      </c>
      <c r="G22" s="12">
        <v>1</v>
      </c>
      <c r="H22" s="24">
        <f t="shared" si="0"/>
        <v>17523</v>
      </c>
    </row>
    <row r="23" spans="1:8" x14ac:dyDescent="0.25">
      <c r="A23" s="2" t="s">
        <v>28</v>
      </c>
      <c r="B23" s="2" t="s">
        <v>10</v>
      </c>
      <c r="C23" s="7">
        <v>220</v>
      </c>
      <c r="D23" s="7">
        <v>14300</v>
      </c>
      <c r="E23" s="7">
        <v>65</v>
      </c>
      <c r="F23" s="7">
        <v>2574</v>
      </c>
      <c r="G23" s="12">
        <v>1</v>
      </c>
      <c r="H23" s="24">
        <f t="shared" si="0"/>
        <v>16874</v>
      </c>
    </row>
    <row r="24" spans="1:8" x14ac:dyDescent="0.25">
      <c r="A24" s="2" t="s">
        <v>29</v>
      </c>
      <c r="B24" s="2" t="s">
        <v>10</v>
      </c>
      <c r="C24" s="7">
        <v>5</v>
      </c>
      <c r="D24" s="7">
        <v>1920</v>
      </c>
      <c r="E24" s="7">
        <v>384</v>
      </c>
      <c r="F24" s="7">
        <v>345.6</v>
      </c>
      <c r="G24" s="12">
        <v>1</v>
      </c>
      <c r="H24" s="24">
        <f t="shared" si="0"/>
        <v>2265.6</v>
      </c>
    </row>
    <row r="25" spans="1:8" x14ac:dyDescent="0.25">
      <c r="A25" s="2" t="s">
        <v>30</v>
      </c>
      <c r="B25" s="2" t="s">
        <v>14</v>
      </c>
      <c r="C25" s="7">
        <v>20</v>
      </c>
      <c r="D25" s="7">
        <v>950</v>
      </c>
      <c r="E25" s="7">
        <v>47.5</v>
      </c>
      <c r="F25" s="7">
        <v>171</v>
      </c>
      <c r="G25" s="12">
        <v>1</v>
      </c>
      <c r="H25" s="24">
        <f t="shared" si="0"/>
        <v>1121</v>
      </c>
    </row>
    <row r="26" spans="1:8" x14ac:dyDescent="0.25">
      <c r="A26" s="2" t="s">
        <v>31</v>
      </c>
      <c r="B26" s="2" t="s">
        <v>10</v>
      </c>
      <c r="C26" s="7">
        <v>15</v>
      </c>
      <c r="D26" s="7">
        <v>6105</v>
      </c>
      <c r="E26" s="7">
        <v>407</v>
      </c>
      <c r="F26" s="7">
        <v>1098.9000000000001</v>
      </c>
      <c r="G26" s="12">
        <v>1</v>
      </c>
      <c r="H26" s="24">
        <f t="shared" si="0"/>
        <v>7203.9</v>
      </c>
    </row>
    <row r="27" spans="1:8" x14ac:dyDescent="0.25">
      <c r="A27" s="2" t="s">
        <v>32</v>
      </c>
      <c r="B27" s="2" t="s">
        <v>14</v>
      </c>
      <c r="C27" s="7">
        <v>1860</v>
      </c>
      <c r="D27" s="7">
        <v>15500</v>
      </c>
      <c r="E27" s="7">
        <v>8.33</v>
      </c>
      <c r="F27" s="7">
        <v>2790</v>
      </c>
      <c r="G27" s="12">
        <v>2</v>
      </c>
      <c r="H27" s="24">
        <f t="shared" si="0"/>
        <v>18290</v>
      </c>
    </row>
    <row r="28" spans="1:8" x14ac:dyDescent="0.25">
      <c r="A28" s="2" t="s">
        <v>33</v>
      </c>
      <c r="B28" s="2" t="s">
        <v>14</v>
      </c>
      <c r="C28" s="7">
        <v>30</v>
      </c>
      <c r="D28" s="7">
        <v>975</v>
      </c>
      <c r="E28" s="7">
        <v>32.5</v>
      </c>
      <c r="F28" s="7">
        <v>175.5</v>
      </c>
      <c r="G28" s="12">
        <v>1</v>
      </c>
      <c r="H28" s="24">
        <f t="shared" si="0"/>
        <v>1150.5</v>
      </c>
    </row>
    <row r="29" spans="1:8" x14ac:dyDescent="0.25">
      <c r="A29" s="2" t="s">
        <v>34</v>
      </c>
      <c r="B29" s="2" t="s">
        <v>10</v>
      </c>
      <c r="C29" s="7">
        <v>15</v>
      </c>
      <c r="D29" s="7">
        <v>6300</v>
      </c>
      <c r="E29" s="7">
        <v>420</v>
      </c>
      <c r="F29" s="7">
        <v>1134</v>
      </c>
      <c r="G29" s="12">
        <v>2</v>
      </c>
      <c r="H29" s="24">
        <f t="shared" si="0"/>
        <v>7434</v>
      </c>
    </row>
    <row r="30" spans="1:8" x14ac:dyDescent="0.25">
      <c r="A30" s="2" t="s">
        <v>35</v>
      </c>
      <c r="B30" s="2" t="s">
        <v>14</v>
      </c>
      <c r="C30" s="7">
        <v>31</v>
      </c>
      <c r="D30" s="7">
        <v>1627.5</v>
      </c>
      <c r="E30" s="7">
        <v>52.5</v>
      </c>
      <c r="F30" s="7">
        <v>292.95999999999998</v>
      </c>
      <c r="G30" s="12">
        <v>1</v>
      </c>
      <c r="H30" s="24">
        <f t="shared" si="0"/>
        <v>1920.46</v>
      </c>
    </row>
    <row r="31" spans="1:8" x14ac:dyDescent="0.25">
      <c r="A31" s="2" t="s">
        <v>36</v>
      </c>
      <c r="B31" s="2" t="s">
        <v>10</v>
      </c>
      <c r="C31" s="7">
        <v>10</v>
      </c>
      <c r="D31" s="7">
        <v>4920</v>
      </c>
      <c r="E31" s="7">
        <v>492</v>
      </c>
      <c r="F31" s="7">
        <v>885.6</v>
      </c>
      <c r="G31" s="12">
        <v>2</v>
      </c>
      <c r="H31" s="24">
        <f t="shared" si="0"/>
        <v>5805.6</v>
      </c>
    </row>
    <row r="32" spans="1:8" x14ac:dyDescent="0.25">
      <c r="A32" s="2" t="s">
        <v>37</v>
      </c>
      <c r="B32" s="2" t="s">
        <v>14</v>
      </c>
      <c r="C32" s="7">
        <v>10</v>
      </c>
      <c r="D32" s="7">
        <v>600</v>
      </c>
      <c r="E32" s="7">
        <v>60</v>
      </c>
      <c r="F32" s="7">
        <v>108</v>
      </c>
      <c r="G32" s="12">
        <v>1</v>
      </c>
      <c r="H32" s="24">
        <f t="shared" si="0"/>
        <v>708</v>
      </c>
    </row>
    <row r="33" spans="1:8" x14ac:dyDescent="0.25">
      <c r="A33" s="2" t="s">
        <v>38</v>
      </c>
      <c r="B33" s="2" t="s">
        <v>16</v>
      </c>
      <c r="C33" s="7">
        <v>117</v>
      </c>
      <c r="D33" s="7">
        <v>2340</v>
      </c>
      <c r="E33" s="7">
        <v>20</v>
      </c>
      <c r="F33" s="7">
        <v>421.2</v>
      </c>
      <c r="G33" s="12">
        <v>1</v>
      </c>
      <c r="H33" s="24">
        <f t="shared" si="0"/>
        <v>2761.2</v>
      </c>
    </row>
    <row r="34" spans="1:8" x14ac:dyDescent="0.25">
      <c r="A34" s="2" t="s">
        <v>39</v>
      </c>
      <c r="B34" s="2" t="s">
        <v>14</v>
      </c>
      <c r="C34" s="7">
        <v>1</v>
      </c>
      <c r="D34" s="7">
        <v>8550</v>
      </c>
      <c r="E34" s="7">
        <v>8550</v>
      </c>
      <c r="F34" s="7">
        <v>1539</v>
      </c>
      <c r="G34" s="12">
        <v>1</v>
      </c>
      <c r="H34" s="24">
        <f t="shared" si="0"/>
        <v>10089</v>
      </c>
    </row>
    <row r="35" spans="1:8" x14ac:dyDescent="0.25">
      <c r="A35" s="2" t="s">
        <v>40</v>
      </c>
      <c r="B35" s="2" t="s">
        <v>14</v>
      </c>
      <c r="C35" s="7">
        <v>701</v>
      </c>
      <c r="D35" s="7">
        <v>43812.5</v>
      </c>
      <c r="E35" s="7">
        <v>62.5</v>
      </c>
      <c r="F35" s="7">
        <v>7886.26</v>
      </c>
      <c r="G35" s="12">
        <v>2</v>
      </c>
      <c r="H35" s="24">
        <f t="shared" si="0"/>
        <v>51698.76</v>
      </c>
    </row>
    <row r="36" spans="1:8" x14ac:dyDescent="0.25">
      <c r="A36" s="2" t="s">
        <v>41</v>
      </c>
      <c r="B36" s="2" t="s">
        <v>14</v>
      </c>
      <c r="C36" s="7">
        <v>50</v>
      </c>
      <c r="D36" s="7">
        <v>2500</v>
      </c>
      <c r="E36" s="7">
        <v>50</v>
      </c>
      <c r="F36" s="7">
        <v>450</v>
      </c>
      <c r="G36" s="12">
        <v>1</v>
      </c>
      <c r="H36" s="24">
        <f t="shared" si="0"/>
        <v>2950</v>
      </c>
    </row>
    <row r="37" spans="1:8" x14ac:dyDescent="0.25">
      <c r="A37" s="2" t="s">
        <v>42</v>
      </c>
      <c r="B37" s="2" t="s">
        <v>43</v>
      </c>
      <c r="C37" s="7">
        <v>50</v>
      </c>
      <c r="D37" s="7">
        <v>5250</v>
      </c>
      <c r="E37" s="7">
        <v>105</v>
      </c>
      <c r="F37" s="7">
        <v>945</v>
      </c>
      <c r="G37" s="12">
        <v>1</v>
      </c>
      <c r="H37" s="24">
        <f t="shared" si="0"/>
        <v>6195</v>
      </c>
    </row>
    <row r="38" spans="1:8" x14ac:dyDescent="0.25">
      <c r="A38" s="2" t="s">
        <v>44</v>
      </c>
      <c r="B38" s="2" t="s">
        <v>45</v>
      </c>
      <c r="C38" s="7">
        <v>46</v>
      </c>
      <c r="D38" s="7">
        <v>3795</v>
      </c>
      <c r="E38" s="7">
        <v>82.5</v>
      </c>
      <c r="F38" s="7">
        <v>683.1</v>
      </c>
      <c r="G38" s="12">
        <v>1</v>
      </c>
      <c r="H38" s="24">
        <f t="shared" si="0"/>
        <v>4478.1000000000004</v>
      </c>
    </row>
    <row r="39" spans="1:8" x14ac:dyDescent="0.25">
      <c r="A39" s="2" t="s">
        <v>46</v>
      </c>
      <c r="B39" s="2" t="s">
        <v>43</v>
      </c>
      <c r="C39" s="7">
        <v>8.5</v>
      </c>
      <c r="D39" s="7">
        <v>3357.5</v>
      </c>
      <c r="E39" s="7">
        <v>395</v>
      </c>
      <c r="F39" s="7">
        <v>604.36</v>
      </c>
      <c r="G39" s="12">
        <v>1</v>
      </c>
      <c r="H39" s="24">
        <f t="shared" si="0"/>
        <v>3961.86</v>
      </c>
    </row>
    <row r="40" spans="1:8" x14ac:dyDescent="0.25">
      <c r="A40" s="2" t="s">
        <v>47</v>
      </c>
      <c r="B40" s="2" t="s">
        <v>43</v>
      </c>
      <c r="C40" s="7">
        <v>24.5</v>
      </c>
      <c r="D40" s="7">
        <v>9187.5</v>
      </c>
      <c r="E40" s="7">
        <v>375</v>
      </c>
      <c r="F40" s="7">
        <v>1653.74</v>
      </c>
      <c r="G40" s="12">
        <v>1</v>
      </c>
      <c r="H40" s="24">
        <f t="shared" si="0"/>
        <v>10841.24</v>
      </c>
    </row>
    <row r="41" spans="1:8" x14ac:dyDescent="0.25">
      <c r="A41" s="3"/>
      <c r="B41" s="3"/>
      <c r="C41" s="8"/>
      <c r="D41" s="8"/>
      <c r="E41" s="8"/>
      <c r="F41" s="8"/>
      <c r="G41" s="13"/>
    </row>
    <row r="42" spans="1:8" x14ac:dyDescent="0.25">
      <c r="A42" s="4"/>
      <c r="B42" s="5" t="s">
        <v>48</v>
      </c>
      <c r="C42" s="9">
        <v>5232</v>
      </c>
      <c r="D42" s="9">
        <v>281490.48</v>
      </c>
      <c r="E42" s="10"/>
      <c r="F42" s="9">
        <v>50668.3</v>
      </c>
      <c r="G42" s="14"/>
    </row>
    <row r="44" spans="1:8" ht="15.75" x14ac:dyDescent="0.25">
      <c r="E44" s="15" t="s">
        <v>49</v>
      </c>
      <c r="F44" s="16"/>
      <c r="G44" s="16"/>
    </row>
    <row r="45" spans="1:8" x14ac:dyDescent="0.25">
      <c r="F45" s="23" t="s">
        <v>51</v>
      </c>
      <c r="G45" s="24">
        <f>SUM(H7:H40)</f>
        <v>332158.77999999997</v>
      </c>
    </row>
  </sheetData>
  <mergeCells count="7">
    <mergeCell ref="E44:G44"/>
    <mergeCell ref="A1:G1"/>
    <mergeCell ref="A2:G2"/>
    <mergeCell ref="A3:G3"/>
    <mergeCell ref="A4:G4"/>
    <mergeCell ref="A5:D5"/>
    <mergeCell ref="E5:G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2026-01-15T11:09:22Z</dcterms:created>
  <dcterms:modified xsi:type="dcterms:W3CDTF">2026-01-15T11:19:31Z</dcterms:modified>
</cp:coreProperties>
</file>